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80746a87f98ab67/Documentos/"/>
    </mc:Choice>
  </mc:AlternateContent>
  <xr:revisionPtr revIDLastSave="5" documentId="13_ncr:1_{CB0908BD-EFF8-400C-9D6D-78768869838B}" xr6:coauthVersionLast="47" xr6:coauthVersionMax="47" xr10:uidLastSave="{4A638652-A976-43A9-9F6E-EEEC82D2B1D3}"/>
  <workbookProtection workbookAlgorithmName="SHA-512" workbookHashValue="hKfnwKB6m9scal7h6jaf5HNZWJ1rg75gbxlDoPe0MrMqzTS/LXQO44VwPzW3Xs8xh+IOTnEEAWQP9CnZHeCqfw==" workbookSaltValue="qzraCSR/k2bQPjXG/3dGEA==" workbookSpinCount="100000" lockStructure="1"/>
  <bookViews>
    <workbookView xWindow="-120" yWindow="-120" windowWidth="15600" windowHeight="11040" xr2:uid="{098DE6B8-E359-4517-BAC8-9A7E1DF5D7BF}"/>
  </bookViews>
  <sheets>
    <sheet name="Simulador" sheetId="1" r:id="rId1"/>
    <sheet name="Apoio C. Inv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" l="1"/>
  <c r="C25" i="1"/>
  <c r="C33" i="1"/>
  <c r="C32" i="1"/>
  <c r="C31" i="1"/>
  <c r="C30" i="1"/>
  <c r="D30" i="1" s="1"/>
  <c r="C29" i="1"/>
  <c r="C28" i="1"/>
  <c r="C22" i="1"/>
  <c r="D22" i="1" s="1"/>
  <c r="C18" i="1"/>
  <c r="D18" i="1" s="1"/>
  <c r="C21" i="1"/>
  <c r="D21" i="1" s="1"/>
  <c r="C20" i="1"/>
  <c r="D20" i="1" s="1"/>
  <c r="C19" i="1"/>
  <c r="D19" i="1" s="1"/>
  <c r="D14" i="1"/>
  <c r="D15" i="1" s="1"/>
  <c r="D31" i="1" l="1"/>
  <c r="D32" i="1"/>
  <c r="D28" i="1"/>
  <c r="D29" i="1"/>
  <c r="D33" i="1"/>
  <c r="D34" i="1" l="1"/>
</calcChain>
</file>

<file path=xl/sharedStrings.xml><?xml version="1.0" encoding="utf-8"?>
<sst xmlns="http://schemas.openxmlformats.org/spreadsheetml/2006/main" count="86" uniqueCount="49">
  <si>
    <t>INVESTIMENTO MENSAL</t>
  </si>
  <si>
    <t>CENÁRIOS</t>
  </si>
  <si>
    <t>Dividendos</t>
  </si>
  <si>
    <t>Salario</t>
  </si>
  <si>
    <t>Rendimento  Carteira</t>
  </si>
  <si>
    <t>Configurações</t>
  </si>
  <si>
    <t>Quanto investir por mês ?</t>
  </si>
  <si>
    <t>Por quantos anos?</t>
  </si>
  <si>
    <t>Taxa de investimento mensais?</t>
  </si>
  <si>
    <t>Patrimonio acumulado?</t>
  </si>
  <si>
    <t>Dividendos Mensais?</t>
  </si>
  <si>
    <t>Quantidade em 2 Anos?</t>
  </si>
  <si>
    <t>Quantidade em 5 Anos?</t>
  </si>
  <si>
    <t>Quantidade em 10 Anos?</t>
  </si>
  <si>
    <t>Quantidade em 20 Anos?</t>
  </si>
  <si>
    <t>Quantidade em 30 Anos?</t>
  </si>
  <si>
    <t>PERFIL</t>
  </si>
  <si>
    <t>VALOR A SER INVESTIDO POR MÊS</t>
  </si>
  <si>
    <t>TIPO DE Fll</t>
  </si>
  <si>
    <t>PAPEL</t>
  </si>
  <si>
    <t>TIJOLO</t>
  </si>
  <si>
    <t>HIBRIDOS</t>
  </si>
  <si>
    <t>FOF´s</t>
  </si>
  <si>
    <t>DESENVOLVIMENTO</t>
  </si>
  <si>
    <t>HOTELARIAS</t>
  </si>
  <si>
    <t>Porcetual Sugerido</t>
  </si>
  <si>
    <t>CONSERVADOR</t>
  </si>
  <si>
    <t>MODERADO</t>
  </si>
  <si>
    <t>AGRESSIVO</t>
  </si>
  <si>
    <t>AGRESSIVO-PAPEL</t>
  </si>
  <si>
    <t>AGRESSIVO-TIJOLO</t>
  </si>
  <si>
    <t>AGRESSIVO-HIBRIDOS</t>
  </si>
  <si>
    <t>AGRESSIVO-FOF´s</t>
  </si>
  <si>
    <t>AGRESSIVO-DESENVOLVIMENTO</t>
  </si>
  <si>
    <t>AGRESSIVO-HOTELARIAS</t>
  </si>
  <si>
    <t>MODERADO-PAPEL</t>
  </si>
  <si>
    <t>MODERADO-TIJOLO</t>
  </si>
  <si>
    <t>MODERADO-HIBRIDOS</t>
  </si>
  <si>
    <t>MODERADO-FOF´s</t>
  </si>
  <si>
    <t>MODERADO-DESENVOLVIMENTO</t>
  </si>
  <si>
    <t>MODERADO-HOTELARIAS</t>
  </si>
  <si>
    <t>CONSERVADOR-PAPEL</t>
  </si>
  <si>
    <t>CONSERVADOR-TIJOLO</t>
  </si>
  <si>
    <t>CONSERVADOR-HIBRIDOS</t>
  </si>
  <si>
    <t>CONSERVADOR-FOF´s</t>
  </si>
  <si>
    <t>CONSERVADOR-DESENVOLVIMENTO</t>
  </si>
  <si>
    <t>CONSERVADOR-HOTELARIAS</t>
  </si>
  <si>
    <t>Sugestão de Investimento (30%)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</si>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</sst>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b/>
      <sz val="11"/>
      <color theme="1"/>
      <name val="Aptos Narrow"/>
      <family val="2"/>
      <scheme val="minor"/>
    </font>
    <font>
      <b/>
      <sz val="18"/>
      <color theme="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3" borderId="0" xfId="0" applyFill="1" applyAlignment="1">
      <alignment horizontal="left"/>
    </xf>
    <xf numFmtId="0" fontId="4" fillId="5" borderId="1" xfId="0" applyFont="1" applyFill="1" applyBorder="1" applyAlignment="1">
      <alignment horizontal="left" vertical="center"/>
    </xf>
    <xf numFmtId="0" fontId="4" fillId="5" borderId="2" xfId="0" applyFont="1" applyFill="1" applyBorder="1" applyAlignment="1">
      <alignment horizontal="left" vertical="center"/>
    </xf>
    <xf numFmtId="10" fontId="0" fillId="3" borderId="4" xfId="2" applyNumberFormat="1" applyFont="1" applyFill="1" applyBorder="1" applyAlignment="1">
      <alignment horizontal="left"/>
    </xf>
    <xf numFmtId="0" fontId="2" fillId="2" borderId="10" xfId="0" applyFont="1" applyFill="1" applyBorder="1" applyAlignment="1">
      <alignment horizontal="left"/>
    </xf>
    <xf numFmtId="0" fontId="3" fillId="3" borderId="0" xfId="0" applyFont="1" applyFill="1" applyAlignment="1">
      <alignment horizontal="left"/>
    </xf>
    <xf numFmtId="0" fontId="5" fillId="3" borderId="3" xfId="0" applyFont="1" applyFill="1" applyBorder="1" applyAlignment="1">
      <alignment horizontal="left"/>
    </xf>
    <xf numFmtId="0" fontId="5" fillId="3" borderId="1" xfId="0" applyFont="1" applyFill="1" applyBorder="1" applyAlignment="1">
      <alignment horizontal="left"/>
    </xf>
    <xf numFmtId="0" fontId="5" fillId="6" borderId="3" xfId="0" applyFont="1" applyFill="1" applyBorder="1" applyAlignment="1">
      <alignment horizontal="left"/>
    </xf>
    <xf numFmtId="8" fontId="0" fillId="6" borderId="4" xfId="0" applyNumberFormat="1" applyFill="1" applyBorder="1" applyAlignment="1">
      <alignment horizontal="left"/>
    </xf>
    <xf numFmtId="0" fontId="5" fillId="6" borderId="5" xfId="0" applyFont="1" applyFill="1" applyBorder="1" applyAlignment="1">
      <alignment horizontal="left"/>
    </xf>
    <xf numFmtId="8" fontId="0" fillId="6" borderId="6" xfId="0" applyNumberFormat="1" applyFill="1" applyBorder="1" applyAlignment="1">
      <alignment horizontal="left"/>
    </xf>
    <xf numFmtId="0" fontId="6" fillId="6" borderId="3" xfId="0" applyFont="1" applyFill="1" applyBorder="1" applyAlignment="1">
      <alignment horizontal="left"/>
    </xf>
    <xf numFmtId="0" fontId="6" fillId="6" borderId="5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4" fillId="5" borderId="10" xfId="0" applyFont="1" applyFill="1" applyBorder="1" applyAlignment="1">
      <alignment horizontal="left" vertical="center"/>
    </xf>
    <xf numFmtId="0" fontId="5" fillId="3" borderId="0" xfId="0" applyFont="1" applyFill="1" applyBorder="1" applyAlignment="1">
      <alignment horizontal="left"/>
    </xf>
    <xf numFmtId="0" fontId="5" fillId="3" borderId="10" xfId="0" applyFont="1" applyFill="1" applyBorder="1" applyAlignment="1">
      <alignment horizontal="left"/>
    </xf>
    <xf numFmtId="0" fontId="6" fillId="6" borderId="0" xfId="0" applyFont="1" applyFill="1" applyBorder="1" applyAlignment="1">
      <alignment horizontal="left"/>
    </xf>
    <xf numFmtId="0" fontId="6" fillId="6" borderId="7" xfId="0" applyFont="1" applyFill="1" applyBorder="1" applyAlignment="1">
      <alignment horizontal="left"/>
    </xf>
    <xf numFmtId="0" fontId="5" fillId="6" borderId="0" xfId="0" applyFont="1" applyFill="1" applyBorder="1" applyAlignment="1">
      <alignment horizontal="left"/>
    </xf>
    <xf numFmtId="0" fontId="5" fillId="6" borderId="7" xfId="0" applyFont="1" applyFill="1" applyBorder="1" applyAlignment="1">
      <alignment horizontal="left"/>
    </xf>
    <xf numFmtId="10" fontId="0" fillId="6" borderId="4" xfId="2" applyNumberFormat="1" applyFont="1" applyFill="1" applyBorder="1" applyAlignment="1">
      <alignment horizontal="left"/>
    </xf>
    <xf numFmtId="8" fontId="0" fillId="6" borderId="0" xfId="0" applyNumberFormat="1" applyFill="1" applyBorder="1" applyAlignment="1">
      <alignment horizontal="left" indent="10"/>
    </xf>
    <xf numFmtId="8" fontId="0" fillId="6" borderId="7" xfId="0" applyNumberFormat="1" applyFill="1" applyBorder="1" applyAlignment="1">
      <alignment horizontal="left" indent="10"/>
    </xf>
    <xf numFmtId="0" fontId="0" fillId="0" borderId="7" xfId="0" applyBorder="1"/>
    <xf numFmtId="0" fontId="7" fillId="3" borderId="3" xfId="0" applyFont="1" applyFill="1" applyBorder="1" applyAlignment="1">
      <alignment horizontal="left"/>
    </xf>
    <xf numFmtId="164" fontId="7" fillId="3" borderId="0" xfId="0" applyNumberFormat="1" applyFont="1" applyFill="1" applyBorder="1" applyAlignment="1">
      <alignment horizontal="left"/>
    </xf>
    <xf numFmtId="0" fontId="7" fillId="3" borderId="4" xfId="0" applyFon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8" borderId="3" xfId="0" applyFill="1" applyBorder="1" applyAlignment="1">
      <alignment horizontal="left"/>
    </xf>
    <xf numFmtId="0" fontId="0" fillId="8" borderId="0" xfId="0" applyFill="1" applyBorder="1" applyAlignment="1">
      <alignment horizontal="left"/>
    </xf>
    <xf numFmtId="0" fontId="0" fillId="8" borderId="4" xfId="0" applyFill="1" applyBorder="1" applyAlignment="1">
      <alignment horizontal="left"/>
    </xf>
    <xf numFmtId="9" fontId="0" fillId="3" borderId="0" xfId="2" applyFont="1" applyFill="1" applyBorder="1" applyAlignment="1">
      <alignment horizontal="left"/>
    </xf>
    <xf numFmtId="164" fontId="0" fillId="3" borderId="4" xfId="0" applyNumberFormat="1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7" fillId="4" borderId="2" xfId="0" applyFont="1" applyFill="1" applyBorder="1" applyAlignment="1">
      <alignment horizontal="left"/>
    </xf>
    <xf numFmtId="0" fontId="0" fillId="0" borderId="3" xfId="0" applyBorder="1"/>
    <xf numFmtId="0" fontId="0" fillId="0" borderId="0" xfId="0" applyBorder="1"/>
    <xf numFmtId="9" fontId="0" fillId="0" borderId="4" xfId="2" applyFont="1" applyBorder="1"/>
    <xf numFmtId="0" fontId="0" fillId="0" borderId="5" xfId="0" applyBorder="1"/>
    <xf numFmtId="9" fontId="0" fillId="0" borderId="6" xfId="2" applyFont="1" applyBorder="1"/>
    <xf numFmtId="0" fontId="2" fillId="7" borderId="1" xfId="0" applyFont="1" applyFill="1" applyBorder="1"/>
    <xf numFmtId="0" fontId="2" fillId="7" borderId="10" xfId="0" applyFont="1" applyFill="1" applyBorder="1"/>
    <xf numFmtId="0" fontId="2" fillId="7" borderId="2" xfId="0" applyFont="1" applyFill="1" applyBorder="1"/>
    <xf numFmtId="164" fontId="0" fillId="6" borderId="6" xfId="2" applyNumberFormat="1" applyFont="1" applyFill="1" applyBorder="1" applyAlignment="1">
      <alignment horizontal="left"/>
    </xf>
    <xf numFmtId="164" fontId="0" fillId="3" borderId="4" xfId="1" applyNumberFormat="1" applyFont="1" applyFill="1" applyBorder="1" applyAlignment="1" applyProtection="1">
      <alignment horizontal="left"/>
      <protection locked="0"/>
    </xf>
    <xf numFmtId="164" fontId="0" fillId="3" borderId="2" xfId="1" applyNumberFormat="1" applyFont="1" applyFill="1" applyBorder="1" applyAlignment="1" applyProtection="1">
      <alignment horizontal="left"/>
      <protection locked="0"/>
    </xf>
    <xf numFmtId="0" fontId="0" fillId="3" borderId="4" xfId="0" applyFill="1" applyBorder="1" applyAlignment="1" applyProtection="1">
      <alignment horizontal="left"/>
      <protection locked="0"/>
    </xf>
    <xf numFmtId="0" fontId="7" fillId="4" borderId="10" xfId="0" applyFont="1" applyFill="1" applyBorder="1" applyAlignment="1" applyProtection="1">
      <alignment horizontal="left"/>
      <protection locked="0"/>
    </xf>
    <xf numFmtId="0" fontId="7" fillId="8" borderId="5" xfId="0" applyFont="1" applyFill="1" applyBorder="1" applyAlignment="1">
      <alignment horizontal="left"/>
    </xf>
    <xf numFmtId="0" fontId="7" fillId="8" borderId="7" xfId="0" applyFont="1" applyFill="1" applyBorder="1" applyAlignment="1">
      <alignment horizontal="left"/>
    </xf>
    <xf numFmtId="164" fontId="7" fillId="8" borderId="6" xfId="0" applyNumberFormat="1" applyFont="1" applyFill="1" applyBorder="1" applyAlignment="1">
      <alignment horizontal="left"/>
    </xf>
    <xf numFmtId="0" fontId="8" fillId="2" borderId="2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left"/>
    </xf>
    <xf numFmtId="0" fontId="0" fillId="9" borderId="0" xfId="0" applyFill="1" applyAlignment="1">
      <alignment horizontal="left"/>
    </xf>
    <xf numFmtId="0" fontId="0" fillId="10" borderId="0" xfId="0" applyFill="1" applyAlignment="1">
      <alignment horizontal="left"/>
    </xf>
    <xf numFmtId="0" fontId="3" fillId="10" borderId="0" xfId="0" applyFont="1" applyFill="1" applyAlignment="1">
      <alignment horizontal="left"/>
    </xf>
    <xf numFmtId="0" fontId="4" fillId="2" borderId="8" xfId="0" applyFont="1" applyFill="1" applyBorder="1" applyAlignment="1">
      <alignment horizontal="left" vertical="center"/>
    </xf>
    <xf numFmtId="0" fontId="4" fillId="2" borderId="11" xfId="0" applyFont="1" applyFill="1" applyBorder="1" applyAlignment="1">
      <alignment horizontal="left" vertical="center"/>
    </xf>
    <xf numFmtId="0" fontId="4" fillId="2" borderId="9" xfId="0" applyFont="1" applyFill="1" applyBorder="1" applyAlignment="1">
      <alignment horizontal="left" vertical="center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704850</xdr:colOff>
      <xdr:row>9</xdr:row>
      <xdr:rowOff>19050</xdr:rowOff>
    </xdr:from>
    <xdr:to>
      <xdr:col>4</xdr:col>
      <xdr:colOff>38100</xdr:colOff>
      <xdr:row>10</xdr:row>
      <xdr:rowOff>28574</xdr:rowOff>
    </xdr:to>
    <xdr:pic>
      <xdr:nvPicPr>
        <xdr:cNvPr id="5" name="Gráfico 4" descr="Gráfico de barras com preenchimento sólido">
          <a:extLst>
            <a:ext uri="{FF2B5EF4-FFF2-40B4-BE49-F238E27FC236}">
              <a16:creationId xmlns:a16="http://schemas.microsoft.com/office/drawing/2014/main" id="{76C50E3C-9326-4D12-7557-6D50CDDF49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5286375" y="2400300"/>
          <a:ext cx="542925" cy="419099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0</xdr:row>
      <xdr:rowOff>57150</xdr:rowOff>
    </xdr:from>
    <xdr:to>
      <xdr:col>3</xdr:col>
      <xdr:colOff>1209260</xdr:colOff>
      <xdr:row>3</xdr:row>
      <xdr:rowOff>161782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AE99DFD6-0DC8-012B-28B1-BE3B5C474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57150"/>
          <a:ext cx="5695950" cy="11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</xdr:col>
      <xdr:colOff>9526</xdr:colOff>
      <xdr:row>0</xdr:row>
      <xdr:rowOff>419100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B191C52D-E229-93E6-15A3-4E89C19698F1}"/>
            </a:ext>
          </a:extLst>
        </xdr:cNvPr>
        <xdr:cNvSpPr/>
      </xdr:nvSpPr>
      <xdr:spPr>
        <a:xfrm>
          <a:off x="0" y="0"/>
          <a:ext cx="6858001" cy="419100"/>
        </a:xfrm>
        <a:prstGeom prst="rect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800" b="1"/>
            <a:t>TABELA</a:t>
          </a:r>
          <a:r>
            <a:rPr lang="pt-BR" sz="1800" b="1" baseline="0"/>
            <a:t> DE APOIO</a:t>
          </a:r>
          <a:endParaRPr lang="pt-BR" sz="18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3C165-0BD4-4AD0-91A1-1BE86030C80A}">
  <dimension ref="A1:E41"/>
  <sheetViews>
    <sheetView showGridLines="0" showRowColHeaders="0" tabSelected="1" showRuler="0" topLeftCell="A4" zoomScale="81" zoomScaleNormal="81" zoomScaleSheetLayoutView="115" workbookViewId="0">
      <selection activeCell="D11" sqref="D11"/>
    </sheetView>
  </sheetViews>
  <sheetFormatPr defaultColWidth="0" defaultRowHeight="15" x14ac:dyDescent="0.25"/>
  <cols>
    <col min="1" max="1" width="1.5703125" style="58" customWidth="1"/>
    <col min="2" max="3" width="33.5703125" style="59" customWidth="1"/>
    <col min="4" max="4" width="18.140625" style="59" customWidth="1"/>
    <col min="5" max="5" width="1.85546875" style="59" customWidth="1"/>
    <col min="6" max="16384" width="9" style="1" hidden="1"/>
  </cols>
  <sheetData>
    <row r="1" spans="1:4" s="1" customFormat="1" x14ac:dyDescent="0.25">
      <c r="A1" s="6"/>
    </row>
    <row r="2" spans="1:4" s="1" customFormat="1" x14ac:dyDescent="0.25">
      <c r="A2" s="6"/>
    </row>
    <row r="3" spans="1:4" s="1" customFormat="1" ht="51.75" customHeight="1" x14ac:dyDescent="0.25">
      <c r="A3" s="6"/>
    </row>
    <row r="4" spans="1:4" s="1" customFormat="1" ht="15.75" thickBot="1" x14ac:dyDescent="0.3">
      <c r="A4" s="6"/>
    </row>
    <row r="5" spans="1:4" s="1" customFormat="1" ht="26.25" x14ac:dyDescent="0.25">
      <c r="A5" s="6"/>
      <c r="B5" s="2" t="s">
        <v>5</v>
      </c>
      <c r="C5" s="16"/>
      <c r="D5" s="3"/>
    </row>
    <row r="6" spans="1:4" s="1" customFormat="1" ht="15.75" x14ac:dyDescent="0.25">
      <c r="A6" s="6"/>
      <c r="B6" s="7" t="s">
        <v>3</v>
      </c>
      <c r="C6" s="17"/>
      <c r="D6" s="50">
        <v>5000</v>
      </c>
    </row>
    <row r="7" spans="1:4" s="1" customFormat="1" ht="15.75" x14ac:dyDescent="0.25">
      <c r="A7" s="6"/>
      <c r="B7" s="9" t="s">
        <v>4</v>
      </c>
      <c r="C7" s="21"/>
      <c r="D7" s="23">
        <v>6.0000000000000001E-3</v>
      </c>
    </row>
    <row r="8" spans="1:4" s="1" customFormat="1" ht="16.5" thickBot="1" x14ac:dyDescent="0.3">
      <c r="A8" s="6"/>
      <c r="B8" s="11" t="s">
        <v>47</v>
      </c>
      <c r="C8" s="22"/>
      <c r="D8" s="49">
        <f>D6*30%</f>
        <v>1500</v>
      </c>
    </row>
    <row r="9" spans="1:4" s="1" customFormat="1" ht="15.75" thickBot="1" x14ac:dyDescent="0.3">
      <c r="A9" s="6"/>
    </row>
    <row r="10" spans="1:4" s="1" customFormat="1" ht="32.25" customHeight="1" thickBot="1" x14ac:dyDescent="0.3">
      <c r="A10" s="6"/>
      <c r="B10" s="62" t="s">
        <v>0</v>
      </c>
      <c r="C10" s="63"/>
      <c r="D10" s="64"/>
    </row>
    <row r="11" spans="1:4" s="1" customFormat="1" ht="15.75" x14ac:dyDescent="0.25">
      <c r="A11" s="6"/>
      <c r="B11" s="8" t="s">
        <v>6</v>
      </c>
      <c r="C11" s="18"/>
      <c r="D11" s="51">
        <v>500</v>
      </c>
    </row>
    <row r="12" spans="1:4" s="1" customFormat="1" ht="15.75" x14ac:dyDescent="0.25">
      <c r="A12" s="6"/>
      <c r="B12" s="7" t="s">
        <v>7</v>
      </c>
      <c r="C12" s="17"/>
      <c r="D12" s="52">
        <v>5</v>
      </c>
    </row>
    <row r="13" spans="1:4" s="1" customFormat="1" ht="15.75" x14ac:dyDescent="0.25">
      <c r="A13" s="6"/>
      <c r="B13" s="7" t="s">
        <v>8</v>
      </c>
      <c r="C13" s="17"/>
      <c r="D13" s="4">
        <v>1.0789999999999999E-2</v>
      </c>
    </row>
    <row r="14" spans="1:4" s="1" customFormat="1" ht="15.75" x14ac:dyDescent="0.25">
      <c r="A14" s="6"/>
      <c r="B14" s="13" t="s">
        <v>9</v>
      </c>
      <c r="C14" s="19"/>
      <c r="D14" s="10">
        <f>FV(D13,D12*12,D11*-1)</f>
        <v>41888.456999243819</v>
      </c>
    </row>
    <row r="15" spans="1:4" s="1" customFormat="1" ht="16.5" thickBot="1" x14ac:dyDescent="0.3">
      <c r="A15" s="6"/>
      <c r="B15" s="14" t="s">
        <v>10</v>
      </c>
      <c r="C15" s="20"/>
      <c r="D15" s="12">
        <f>D14*D13</f>
        <v>451.97645102184077</v>
      </c>
    </row>
    <row r="16" spans="1:4" s="1" customFormat="1" ht="15.75" thickBot="1" x14ac:dyDescent="0.3">
      <c r="A16" s="6"/>
    </row>
    <row r="17" spans="1:4" s="1" customFormat="1" ht="26.25" x14ac:dyDescent="0.4">
      <c r="A17" s="6"/>
      <c r="B17" s="15" t="s">
        <v>1</v>
      </c>
      <c r="C17" s="5"/>
      <c r="D17" s="57" t="s">
        <v>2</v>
      </c>
    </row>
    <row r="18" spans="1:4" s="1" customFormat="1" ht="15.75" x14ac:dyDescent="0.25">
      <c r="A18" s="6">
        <v>2</v>
      </c>
      <c r="B18" s="9" t="s">
        <v>11</v>
      </c>
      <c r="C18" s="24">
        <f>FV($D$13,$A18*12,$D$11*-1)</f>
        <v>13613.813648822608</v>
      </c>
      <c r="D18" s="10">
        <f>C18*$D$7</f>
        <v>81.682881892935654</v>
      </c>
    </row>
    <row r="19" spans="1:4" s="1" customFormat="1" ht="15.75" x14ac:dyDescent="0.25">
      <c r="A19" s="6">
        <v>5</v>
      </c>
      <c r="B19" s="9" t="s">
        <v>12</v>
      </c>
      <c r="C19" s="24">
        <f>FV($D$13,A19*12,$D$11*-1)</f>
        <v>41888.456999243819</v>
      </c>
      <c r="D19" s="10">
        <f>C19*$D$7</f>
        <v>251.33074199546292</v>
      </c>
    </row>
    <row r="20" spans="1:4" s="1" customFormat="1" ht="15.75" x14ac:dyDescent="0.25">
      <c r="A20" s="6">
        <v>10</v>
      </c>
      <c r="B20" s="9" t="s">
        <v>13</v>
      </c>
      <c r="C20" s="24">
        <f>FV($D$13,A20*12,$D$11*-1)</f>
        <v>121642.1062650861</v>
      </c>
      <c r="D20" s="10">
        <f>C20*$D$7</f>
        <v>729.85263759051657</v>
      </c>
    </row>
    <row r="21" spans="1:4" s="1" customFormat="1" ht="15.75" x14ac:dyDescent="0.25">
      <c r="A21" s="6">
        <v>20</v>
      </c>
      <c r="B21" s="9" t="s">
        <v>14</v>
      </c>
      <c r="C21" s="24">
        <f>FV($D$13,A21*12,$D$11*-1)</f>
        <v>562599.20004854025</v>
      </c>
      <c r="D21" s="10">
        <f>C21*$D$7</f>
        <v>3375.5952002912418</v>
      </c>
    </row>
    <row r="22" spans="1:4" s="1" customFormat="1" ht="16.5" thickBot="1" x14ac:dyDescent="0.3">
      <c r="A22" s="6">
        <v>30</v>
      </c>
      <c r="B22" s="11" t="s">
        <v>15</v>
      </c>
      <c r="C22" s="25">
        <f>FV($D$13,A22*12,$D$11*-1)</f>
        <v>2161084.8275023573</v>
      </c>
      <c r="D22" s="12">
        <f>C22*$D$7</f>
        <v>12966.508965014144</v>
      </c>
    </row>
    <row r="23" spans="1:4" s="1" customFormat="1" ht="15.75" thickBot="1" x14ac:dyDescent="0.3">
      <c r="A23" s="6"/>
    </row>
    <row r="24" spans="1:4" s="1" customFormat="1" x14ac:dyDescent="0.25">
      <c r="A24" s="6"/>
      <c r="B24" s="39" t="s">
        <v>16</v>
      </c>
      <c r="C24" s="53" t="s">
        <v>26</v>
      </c>
      <c r="D24" s="40"/>
    </row>
    <row r="25" spans="1:4" s="1" customFormat="1" x14ac:dyDescent="0.25">
      <c r="A25" s="6"/>
      <c r="B25" s="27" t="s">
        <v>17</v>
      </c>
      <c r="C25" s="28">
        <f>D11</f>
        <v>500</v>
      </c>
      <c r="D25" s="29"/>
    </row>
    <row r="26" spans="1:4" s="1" customFormat="1" ht="15.75" thickBot="1" x14ac:dyDescent="0.3">
      <c r="A26" s="6"/>
      <c r="B26" s="36"/>
      <c r="C26" s="37"/>
      <c r="D26" s="38"/>
    </row>
    <row r="27" spans="1:4" s="1" customFormat="1" x14ac:dyDescent="0.25">
      <c r="A27" s="6"/>
      <c r="B27" s="31" t="s">
        <v>18</v>
      </c>
      <c r="C27" s="32" t="s">
        <v>25</v>
      </c>
      <c r="D27" s="33"/>
    </row>
    <row r="28" spans="1:4" s="1" customFormat="1" x14ac:dyDescent="0.25">
      <c r="A28" s="6"/>
      <c r="B28" s="30" t="s">
        <v>19</v>
      </c>
      <c r="C28" s="34">
        <f>VLOOKUP($C$24&amp;"-"&amp;B28,'Apoio C. Invest'!$A:$D,4,FALSE)</f>
        <v>0.5</v>
      </c>
      <c r="D28" s="35">
        <f t="shared" ref="D28:D33" si="0">C28*$C$25</f>
        <v>250</v>
      </c>
    </row>
    <row r="29" spans="1:4" s="1" customFormat="1" x14ac:dyDescent="0.25">
      <c r="A29" s="6"/>
      <c r="B29" s="30" t="s">
        <v>20</v>
      </c>
      <c r="C29" s="34">
        <f>VLOOKUP($C$24&amp;"-"&amp;B29,'Apoio C. Invest'!$A:$D,4,FALSE)</f>
        <v>0.1</v>
      </c>
      <c r="D29" s="35">
        <f t="shared" si="0"/>
        <v>50</v>
      </c>
    </row>
    <row r="30" spans="1:4" s="1" customFormat="1" x14ac:dyDescent="0.25">
      <c r="A30" s="6"/>
      <c r="B30" s="30" t="s">
        <v>21</v>
      </c>
      <c r="C30" s="34">
        <f>VLOOKUP($C$24&amp;"-"&amp;B30,'Apoio C. Invest'!$A:$D,4,FALSE)</f>
        <v>0.05</v>
      </c>
      <c r="D30" s="35">
        <f t="shared" si="0"/>
        <v>25</v>
      </c>
    </row>
    <row r="31" spans="1:4" s="1" customFormat="1" x14ac:dyDescent="0.25">
      <c r="A31" s="6"/>
      <c r="B31" s="30" t="s">
        <v>22</v>
      </c>
      <c r="C31" s="34">
        <f>VLOOKUP($C$24&amp;"-"&amp;B31,'Apoio C. Invest'!$A:$D,4,FALSE)</f>
        <v>0.05</v>
      </c>
      <c r="D31" s="35">
        <f t="shared" si="0"/>
        <v>25</v>
      </c>
    </row>
    <row r="32" spans="1:4" s="1" customFormat="1" x14ac:dyDescent="0.25">
      <c r="A32" s="6"/>
      <c r="B32" s="30" t="s">
        <v>23</v>
      </c>
      <c r="C32" s="34">
        <f>VLOOKUP($C$24&amp;"-"&amp;B32,'Apoio C. Invest'!$A:$D,4,FALSE)</f>
        <v>0.2</v>
      </c>
      <c r="D32" s="35">
        <f t="shared" si="0"/>
        <v>100</v>
      </c>
    </row>
    <row r="33" spans="1:5" x14ac:dyDescent="0.25">
      <c r="A33" s="6"/>
      <c r="B33" s="30" t="s">
        <v>24</v>
      </c>
      <c r="C33" s="34">
        <f>VLOOKUP($C$24&amp;"-"&amp;B33,'Apoio C. Invest'!$A:$D,4,FALSE)</f>
        <v>0.1</v>
      </c>
      <c r="D33" s="35">
        <f t="shared" si="0"/>
        <v>50</v>
      </c>
      <c r="E33" s="1"/>
    </row>
    <row r="34" spans="1:5" ht="15.75" thickBot="1" x14ac:dyDescent="0.3">
      <c r="A34" s="6"/>
      <c r="B34" s="54" t="s">
        <v>48</v>
      </c>
      <c r="C34" s="55"/>
      <c r="D34" s="56">
        <f>SUM(D28:D33)</f>
        <v>500</v>
      </c>
      <c r="E34" s="1"/>
    </row>
    <row r="35" spans="1:5" x14ac:dyDescent="0.25">
      <c r="A35" s="61"/>
      <c r="B35" s="60"/>
      <c r="C35" s="60"/>
      <c r="D35" s="60"/>
      <c r="E35" s="60"/>
    </row>
    <row r="36" spans="1:5" x14ac:dyDescent="0.25">
      <c r="A36" s="61"/>
      <c r="B36" s="60"/>
      <c r="C36" s="60"/>
      <c r="D36" s="60"/>
      <c r="E36" s="60"/>
    </row>
    <row r="37" spans="1:5" x14ac:dyDescent="0.25">
      <c r="A37" s="61"/>
      <c r="B37" s="60"/>
      <c r="C37" s="60"/>
      <c r="D37" s="60"/>
      <c r="E37" s="60"/>
    </row>
    <row r="38" spans="1:5" x14ac:dyDescent="0.25">
      <c r="A38" s="61"/>
      <c r="B38" s="60"/>
      <c r="C38" s="60"/>
      <c r="D38" s="60"/>
      <c r="E38" s="60"/>
    </row>
    <row r="39" spans="1:5" x14ac:dyDescent="0.25">
      <c r="A39" s="61"/>
      <c r="B39" s="60"/>
      <c r="C39" s="60"/>
      <c r="D39" s="60"/>
      <c r="E39" s="60"/>
    </row>
    <row r="40" spans="1:5" x14ac:dyDescent="0.25">
      <c r="A40" s="61"/>
      <c r="B40" s="60"/>
      <c r="C40" s="60"/>
      <c r="D40" s="60"/>
      <c r="E40" s="60"/>
    </row>
    <row r="41" spans="1:5" x14ac:dyDescent="0.25">
      <c r="A41" s="61"/>
      <c r="B41" s="60"/>
      <c r="C41" s="60"/>
      <c r="D41" s="60"/>
      <c r="E41" s="60"/>
    </row>
  </sheetData>
  <sheetProtection algorithmName="SHA-512" hashValue="lT4ptFpyFB7Nn2Nom1duCn7XipwRiz2pP3O6xqcbd0zd065nXTUruqCU2pVYu+UpffFOEFvbqGr34CXreZV+1w==" saltValue="ScNGccfN1D5zV0Ls9sACVA==" spinCount="100000" sheet="1" objects="1" scenarios="1" selectLockedCells="1"/>
  <mergeCells count="1">
    <mergeCell ref="B10:D10"/>
  </mergeCells>
  <dataValidations count="2">
    <dataValidation type="list" allowBlank="1" showInputMessage="1" showErrorMessage="1" sqref="C24" xr:uid="{C4118C58-7F55-4DB3-B210-948648C90BBA}">
      <formula1>"CONSERVADOR,MODERADO,AGRESSIVO"</formula1>
    </dataValidation>
    <dataValidation type="whole" operator="notEqual" allowBlank="1" showInputMessage="1" showErrorMessage="1" sqref="D6" xr:uid="{8F9A6EF6-7995-4AE3-A531-B33CE35A59F4}">
      <formula1>0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B398-2AD0-4224-A8C4-3B11199C40EE}">
  <dimension ref="A1:E20"/>
  <sheetViews>
    <sheetView workbookViewId="0">
      <selection activeCell="B13" sqref="B13"/>
    </sheetView>
  </sheetViews>
  <sheetFormatPr defaultColWidth="0" defaultRowHeight="15" x14ac:dyDescent="0.25"/>
  <cols>
    <col min="1" max="2" width="33.140625" customWidth="1"/>
    <col min="3" max="3" width="18.5703125" bestFit="1" customWidth="1"/>
    <col min="4" max="4" width="17.85546875" bestFit="1" customWidth="1"/>
    <col min="5" max="5" width="1.28515625" customWidth="1"/>
    <col min="6" max="16384" width="9.140625" hidden="1"/>
  </cols>
  <sheetData>
    <row r="1" spans="1:4" ht="35.25" customHeight="1" thickBot="1" x14ac:dyDescent="0.3"/>
    <row r="2" spans="1:4" x14ac:dyDescent="0.25">
      <c r="A2" s="46" t="s">
        <v>16</v>
      </c>
      <c r="B2" s="47"/>
      <c r="C2" s="47" t="s">
        <v>18</v>
      </c>
      <c r="D2" s="48" t="s">
        <v>25</v>
      </c>
    </row>
    <row r="3" spans="1:4" x14ac:dyDescent="0.25">
      <c r="A3" s="41" t="s">
        <v>29</v>
      </c>
      <c r="B3" s="42" t="s">
        <v>28</v>
      </c>
      <c r="C3" s="42" t="s">
        <v>19</v>
      </c>
      <c r="D3" s="43">
        <v>0.3</v>
      </c>
    </row>
    <row r="4" spans="1:4" x14ac:dyDescent="0.25">
      <c r="A4" s="41" t="s">
        <v>30</v>
      </c>
      <c r="B4" s="42" t="s">
        <v>28</v>
      </c>
      <c r="C4" s="42" t="s">
        <v>20</v>
      </c>
      <c r="D4" s="43">
        <v>0.5</v>
      </c>
    </row>
    <row r="5" spans="1:4" x14ac:dyDescent="0.25">
      <c r="A5" s="41" t="s">
        <v>31</v>
      </c>
      <c r="B5" s="42" t="s">
        <v>28</v>
      </c>
      <c r="C5" s="42" t="s">
        <v>21</v>
      </c>
      <c r="D5" s="43">
        <v>0.1</v>
      </c>
    </row>
    <row r="6" spans="1:4" x14ac:dyDescent="0.25">
      <c r="A6" s="41" t="s">
        <v>32</v>
      </c>
      <c r="B6" s="42" t="s">
        <v>28</v>
      </c>
      <c r="C6" s="42" t="s">
        <v>22</v>
      </c>
      <c r="D6" s="43">
        <v>0.1</v>
      </c>
    </row>
    <row r="7" spans="1:4" x14ac:dyDescent="0.25">
      <c r="A7" s="41" t="s">
        <v>33</v>
      </c>
      <c r="B7" s="42" t="s">
        <v>28</v>
      </c>
      <c r="C7" s="42" t="s">
        <v>23</v>
      </c>
      <c r="D7" s="43">
        <v>0</v>
      </c>
    </row>
    <row r="8" spans="1:4" ht="15.75" thickBot="1" x14ac:dyDescent="0.3">
      <c r="A8" s="44" t="s">
        <v>34</v>
      </c>
      <c r="B8" s="26" t="s">
        <v>28</v>
      </c>
      <c r="C8" s="26" t="s">
        <v>24</v>
      </c>
      <c r="D8" s="45">
        <v>0</v>
      </c>
    </row>
    <row r="9" spans="1:4" x14ac:dyDescent="0.25">
      <c r="A9" s="41" t="s">
        <v>35</v>
      </c>
      <c r="B9" s="42" t="s">
        <v>27</v>
      </c>
      <c r="C9" s="42" t="s">
        <v>19</v>
      </c>
      <c r="D9" s="43">
        <v>0.32</v>
      </c>
    </row>
    <row r="10" spans="1:4" x14ac:dyDescent="0.25">
      <c r="A10" s="41" t="s">
        <v>36</v>
      </c>
      <c r="B10" s="42" t="s">
        <v>27</v>
      </c>
      <c r="C10" s="42" t="s">
        <v>20</v>
      </c>
      <c r="D10" s="43">
        <v>0.35</v>
      </c>
    </row>
    <row r="11" spans="1:4" x14ac:dyDescent="0.25">
      <c r="A11" s="41" t="s">
        <v>37</v>
      </c>
      <c r="B11" s="42" t="s">
        <v>27</v>
      </c>
      <c r="C11" s="42" t="s">
        <v>21</v>
      </c>
      <c r="D11" s="43">
        <v>0.08</v>
      </c>
    </row>
    <row r="12" spans="1:4" x14ac:dyDescent="0.25">
      <c r="A12" s="41" t="s">
        <v>38</v>
      </c>
      <c r="B12" s="42" t="s">
        <v>27</v>
      </c>
      <c r="C12" s="42" t="s">
        <v>22</v>
      </c>
      <c r="D12" s="43">
        <v>0.05</v>
      </c>
    </row>
    <row r="13" spans="1:4" x14ac:dyDescent="0.25">
      <c r="A13" s="41" t="s">
        <v>39</v>
      </c>
      <c r="B13" s="42" t="s">
        <v>27</v>
      </c>
      <c r="C13" s="42" t="s">
        <v>23</v>
      </c>
      <c r="D13" s="43">
        <v>0.1</v>
      </c>
    </row>
    <row r="14" spans="1:4" ht="15.75" thickBot="1" x14ac:dyDescent="0.3">
      <c r="A14" s="44" t="s">
        <v>40</v>
      </c>
      <c r="B14" s="26" t="s">
        <v>27</v>
      </c>
      <c r="C14" s="26" t="s">
        <v>24</v>
      </c>
      <c r="D14" s="45">
        <v>0.1</v>
      </c>
    </row>
    <row r="15" spans="1:4" x14ac:dyDescent="0.25">
      <c r="A15" s="41" t="s">
        <v>41</v>
      </c>
      <c r="B15" s="42" t="s">
        <v>26</v>
      </c>
      <c r="C15" s="42" t="s">
        <v>19</v>
      </c>
      <c r="D15" s="43">
        <v>0.5</v>
      </c>
    </row>
    <row r="16" spans="1:4" x14ac:dyDescent="0.25">
      <c r="A16" s="41" t="s">
        <v>42</v>
      </c>
      <c r="B16" s="42" t="s">
        <v>26</v>
      </c>
      <c r="C16" s="42" t="s">
        <v>20</v>
      </c>
      <c r="D16" s="43">
        <v>0.1</v>
      </c>
    </row>
    <row r="17" spans="1:4" x14ac:dyDescent="0.25">
      <c r="A17" s="41" t="s">
        <v>43</v>
      </c>
      <c r="B17" s="42" t="s">
        <v>26</v>
      </c>
      <c r="C17" s="42" t="s">
        <v>21</v>
      </c>
      <c r="D17" s="43">
        <v>0.05</v>
      </c>
    </row>
    <row r="18" spans="1:4" x14ac:dyDescent="0.25">
      <c r="A18" s="41" t="s">
        <v>44</v>
      </c>
      <c r="B18" s="42" t="s">
        <v>26</v>
      </c>
      <c r="C18" s="42" t="s">
        <v>22</v>
      </c>
      <c r="D18" s="43">
        <v>0.05</v>
      </c>
    </row>
    <row r="19" spans="1:4" x14ac:dyDescent="0.25">
      <c r="A19" s="41" t="s">
        <v>45</v>
      </c>
      <c r="B19" s="42" t="s">
        <v>26</v>
      </c>
      <c r="C19" s="42" t="s">
        <v>23</v>
      </c>
      <c r="D19" s="43">
        <v>0.2</v>
      </c>
    </row>
    <row r="20" spans="1:4" ht="15.75" thickBot="1" x14ac:dyDescent="0.3">
      <c r="A20" s="44" t="s">
        <v>46</v>
      </c>
      <c r="B20" s="26" t="s">
        <v>26</v>
      </c>
      <c r="C20" s="26" t="s">
        <v>24</v>
      </c>
      <c r="D20" s="45">
        <v>0.1</v>
      </c>
    </row>
  </sheetData>
  <sheetProtection algorithmName="SHA-512" hashValue="RL9p7VBamaQhqNEaqIxqTjxoIJWK0VV2F8WaifCZLPI3/yLUt7XidFa07/VgV2DslZlBto0FZOi4qdcQKfH8Sg==" saltValue="JH6+BBq7URhFcEAXAQS7wA==" spinCount="100000" sheet="1" objects="1" scenarios="1" selectLockedCells="1" selectUnlockedCells="1"/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Simulador</vt:lpstr>
      <vt:lpstr>Apoio C. Invest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 Sousa</dc:creator>
  <cp:lastModifiedBy>Gerson Sousa</cp:lastModifiedBy>
  <dcterms:created xsi:type="dcterms:W3CDTF">2026-09-11T20:56:59Z</dcterms:created>
  <dcterms:modified xsi:type="dcterms:W3CDTF">2026-09-15T14:40:26Z</dcterms:modified>
</cp:coreProperties>
</file>